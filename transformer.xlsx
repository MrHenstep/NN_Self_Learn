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cuments\Projects\UCL Projects\NN_Self_Learn\"/>
    </mc:Choice>
  </mc:AlternateContent>
  <xr:revisionPtr revIDLastSave="0" documentId="8_{25CD1668-A82C-4897-A20C-17CBDA9D2A49}" xr6:coauthVersionLast="47" xr6:coauthVersionMax="47" xr10:uidLastSave="{00000000-0000-0000-0000-000000000000}"/>
  <bookViews>
    <workbookView xWindow="43095" yWindow="0" windowWidth="19410" windowHeight="21705" xr2:uid="{2361958B-3C59-4A65-A702-A5379014BE1D}"/>
  </bookViews>
  <sheets>
    <sheet name="Sheet1" sheetId="1" r:id="rId1"/>
  </sheets>
  <definedNames>
    <definedName name="A">Sheet1!$T$49:$V$51</definedName>
    <definedName name="beta">Sheet1!$L$7:$L$11</definedName>
    <definedName name="beta_k">Sheet1!$L$23:$L$27</definedName>
    <definedName name="beta_q">Sheet1!$L$15:$L$19</definedName>
    <definedName name="K">Sheet1!$N$23:$P$27</definedName>
    <definedName name="K_T">Sheet1!$N$33:$R$35</definedName>
    <definedName name="omega">Sheet1!$F$7:$J$11</definedName>
    <definedName name="omega_k">Sheet1!$F$23:$J$27</definedName>
    <definedName name="omega_q">Sheet1!$F$15:$J$19</definedName>
    <definedName name="Q">Sheet1!$N$15:$P$19</definedName>
    <definedName name="V">Sheet1!$N$7:$P$11</definedName>
    <definedName name="X">Sheet1!$B$7:$D$11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5" i="1" l="1" a="1"/>
  <c r="T55" i="1" s="1"/>
  <c r="N15" i="1" a="1"/>
  <c r="P15" i="1" s="1"/>
  <c r="N7" i="1" a="1"/>
  <c r="P9" i="1" s="1"/>
  <c r="V59" i="1" l="1"/>
  <c r="T59" i="1"/>
  <c r="V57" i="1"/>
  <c r="T56" i="1"/>
  <c r="V55" i="1"/>
  <c r="V58" i="1"/>
  <c r="U57" i="1"/>
  <c r="V56" i="1"/>
  <c r="U55" i="1"/>
  <c r="U59" i="1"/>
  <c r="U58" i="1"/>
  <c r="T58" i="1"/>
  <c r="T57" i="1"/>
  <c r="U56" i="1"/>
  <c r="O7" i="1"/>
  <c r="N7" i="1"/>
  <c r="O15" i="1"/>
  <c r="N15" i="1"/>
  <c r="O9" i="1"/>
  <c r="N9" i="1"/>
  <c r="P8" i="1"/>
  <c r="O8" i="1"/>
  <c r="N8" i="1"/>
  <c r="P7" i="1"/>
  <c r="N23" i="1" a="1"/>
  <c r="P26" i="1" s="1"/>
  <c r="P19" i="1"/>
  <c r="O19" i="1"/>
  <c r="N19" i="1"/>
  <c r="P18" i="1"/>
  <c r="O18" i="1"/>
  <c r="N18" i="1"/>
  <c r="P11" i="1"/>
  <c r="P17" i="1"/>
  <c r="O11" i="1"/>
  <c r="O17" i="1"/>
  <c r="N11" i="1"/>
  <c r="N17" i="1"/>
  <c r="P10" i="1"/>
  <c r="P16" i="1"/>
  <c r="O10" i="1"/>
  <c r="O16" i="1"/>
  <c r="N10" i="1"/>
  <c r="N16" i="1"/>
  <c r="O26" i="1" l="1"/>
  <c r="N26" i="1"/>
  <c r="P25" i="1"/>
  <c r="O25" i="1"/>
  <c r="N25" i="1"/>
  <c r="P24" i="1"/>
  <c r="O24" i="1"/>
  <c r="N24" i="1"/>
  <c r="P23" i="1"/>
  <c r="O23" i="1"/>
  <c r="N23" i="1"/>
  <c r="O27" i="1"/>
  <c r="N27" i="1"/>
  <c r="P27" i="1"/>
  <c r="N33" i="1" l="1" a="1"/>
  <c r="N35" i="1" l="1"/>
  <c r="O35" i="1"/>
  <c r="N33" i="1"/>
  <c r="O33" i="1"/>
  <c r="P33" i="1"/>
  <c r="Q33" i="1"/>
  <c r="R33" i="1"/>
  <c r="N34" i="1"/>
  <c r="O34" i="1"/>
  <c r="P34" i="1"/>
  <c r="Q34" i="1"/>
  <c r="R34" i="1"/>
  <c r="P35" i="1"/>
  <c r="Q35" i="1"/>
  <c r="R35" i="1"/>
  <c r="T33" i="1" l="1" a="1"/>
  <c r="T33" i="1" l="1"/>
  <c r="T43" i="1" s="1"/>
  <c r="T35" i="1"/>
  <c r="T45" i="1" s="1"/>
  <c r="U33" i="1"/>
  <c r="U43" i="1" s="1"/>
  <c r="U34" i="1"/>
  <c r="U44" i="1" s="1"/>
  <c r="V34" i="1"/>
  <c r="V44" i="1" s="1"/>
  <c r="U35" i="1"/>
  <c r="U45" i="1" s="1"/>
  <c r="V35" i="1"/>
  <c r="V45" i="1" s="1"/>
  <c r="V33" i="1"/>
  <c r="V43" i="1" s="1"/>
  <c r="T34" i="1"/>
  <c r="T44" i="1" s="1"/>
  <c r="W44" i="1" l="1"/>
  <c r="T50" i="1"/>
  <c r="U50" i="1"/>
  <c r="W45" i="1"/>
  <c r="U51" i="1" s="1"/>
  <c r="T51" i="1"/>
  <c r="V51" i="1"/>
  <c r="V50" i="1"/>
  <c r="W43" i="1"/>
  <c r="V49" i="1" s="1"/>
  <c r="U49" i="1" l="1"/>
  <c r="T49" i="1"/>
  <c r="W49" i="1" s="1"/>
  <c r="W51" i="1"/>
  <c r="W50" i="1"/>
</calcChain>
</file>

<file path=xl/sharedStrings.xml><?xml version="1.0" encoding="utf-8"?>
<sst xmlns="http://schemas.openxmlformats.org/spreadsheetml/2006/main" count="38" uniqueCount="30">
  <si>
    <t>X</t>
  </si>
  <si>
    <t>.</t>
  </si>
  <si>
    <t>j=k</t>
  </si>
  <si>
    <t>j=1</t>
  </si>
  <si>
    <t>omega</t>
  </si>
  <si>
    <t>V</t>
  </si>
  <si>
    <t>omega_q</t>
  </si>
  <si>
    <t>beta</t>
  </si>
  <si>
    <t>beta_q</t>
  </si>
  <si>
    <t>Q</t>
  </si>
  <si>
    <t>omega_k</t>
  </si>
  <si>
    <t>beta_k</t>
  </si>
  <si>
    <t>K</t>
  </si>
  <si>
    <t>d</t>
  </si>
  <si>
    <t>(d x d)</t>
  </si>
  <si>
    <t>K^T</t>
  </si>
  <si>
    <t>each col is a k_m</t>
  </si>
  <si>
    <t>each row is a k_m</t>
  </si>
  <si>
    <t>each col is a q_n</t>
  </si>
  <si>
    <t>each row corresponds to k_m</t>
  </si>
  <si>
    <t>each col corresponds to q_n</t>
  </si>
  <si>
    <t>(d x N)</t>
  </si>
  <si>
    <t>(N x d)</t>
  </si>
  <si>
    <t>N</t>
  </si>
  <si>
    <t>exponentials</t>
  </si>
  <si>
    <t>K^T Q</t>
  </si>
  <si>
    <t>(N x N)</t>
  </si>
  <si>
    <t>sum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</si>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</sst>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CA1B-DC2A-4F45-AF76-270C5D24D94F}">
  <dimension ref="A3:W59"/>
  <sheetViews>
    <sheetView tabSelected="1" topLeftCell="G1" zoomScale="80" zoomScaleNormal="80" workbookViewId="0">
      <selection activeCell="T20" sqref="T20"/>
    </sheetView>
  </sheetViews>
  <sheetFormatPr defaultRowHeight="13.5"/>
  <cols>
    <col min="23" max="23" width="13.1875" bestFit="1" customWidth="1"/>
    <col min="28" max="28" width="13.25" bestFit="1" customWidth="1"/>
    <col min="29" max="29" width="11.9375" bestFit="1" customWidth="1"/>
    <col min="30" max="30" width="13.0625" bestFit="1" customWidth="1"/>
  </cols>
  <sheetData>
    <row r="3" spans="1:16">
      <c r="B3" t="s">
        <v>13</v>
      </c>
      <c r="C3">
        <v>5</v>
      </c>
    </row>
    <row r="4" spans="1:16">
      <c r="B4" t="s">
        <v>23</v>
      </c>
      <c r="C4">
        <v>3</v>
      </c>
    </row>
    <row r="6" spans="1:16">
      <c r="B6" t="s">
        <v>0</v>
      </c>
      <c r="C6" t="s">
        <v>21</v>
      </c>
      <c r="F6" t="s">
        <v>4</v>
      </c>
      <c r="G6" t="s">
        <v>14</v>
      </c>
      <c r="L6" t="s">
        <v>7</v>
      </c>
      <c r="N6" t="s">
        <v>5</v>
      </c>
      <c r="O6" t="s">
        <v>21</v>
      </c>
    </row>
    <row r="7" spans="1:16">
      <c r="A7" t="s">
        <v>3</v>
      </c>
      <c r="B7" s="1">
        <v>0.84769484579439836</v>
      </c>
      <c r="C7" s="1">
        <v>0.19396532758977081</v>
      </c>
      <c r="D7" s="1">
        <v>0.55071650605559563</v>
      </c>
      <c r="F7" s="4">
        <v>0.91822569742537097</v>
      </c>
      <c r="G7" s="5">
        <v>0.99906333240646061</v>
      </c>
      <c r="H7" s="5">
        <v>0.3120687402307879</v>
      </c>
      <c r="I7" s="5">
        <v>0.98277333693731039</v>
      </c>
      <c r="J7" s="6">
        <v>0.34339859203581846</v>
      </c>
      <c r="K7" s="8"/>
      <c r="L7" s="1">
        <v>0.42265727690507604</v>
      </c>
      <c r="N7" s="4">
        <f t="array" ref="N7:P11">MMULT(omega, X)+beta</f>
        <v>2.9298487550020482</v>
      </c>
      <c r="O7" s="5">
        <v>2.5912067727308248</v>
      </c>
      <c r="P7" s="6">
        <v>1.7941961690728758</v>
      </c>
    </row>
    <row r="8" spans="1:16">
      <c r="A8" t="s">
        <v>1</v>
      </c>
      <c r="B8" s="2">
        <v>0.58373634786875739</v>
      </c>
      <c r="C8" s="2">
        <v>0.84065109566421348</v>
      </c>
      <c r="D8" s="2">
        <v>9.3491670341819599E-2</v>
      </c>
      <c r="F8" s="7">
        <v>0.79685946004631036</v>
      </c>
      <c r="G8" s="8">
        <v>4.2214299848715608E-2</v>
      </c>
      <c r="H8" s="8">
        <v>4.539322931710088E-2</v>
      </c>
      <c r="I8" s="8">
        <v>0.32786411757467915</v>
      </c>
      <c r="J8" s="9">
        <v>0.9817059006497556</v>
      </c>
      <c r="K8" s="8"/>
      <c r="L8" s="2">
        <v>8.8539639368250378E-2</v>
      </c>
      <c r="N8" s="7">
        <v>1.5332490043426614</v>
      </c>
      <c r="O8" s="8">
        <v>1.0541490639949296</v>
      </c>
      <c r="P8" s="9">
        <v>1.2482868153206894</v>
      </c>
    </row>
    <row r="9" spans="1:16">
      <c r="A9" t="s">
        <v>1</v>
      </c>
      <c r="B9" s="2">
        <v>0.93521692692002245</v>
      </c>
      <c r="C9" s="2">
        <v>0.46371624842688042</v>
      </c>
      <c r="D9" s="2">
        <v>0.87825104829476941</v>
      </c>
      <c r="F9" s="7">
        <v>0.11859111182547033</v>
      </c>
      <c r="G9" s="8">
        <v>0.10122458207262197</v>
      </c>
      <c r="H9" s="8">
        <v>0.39062790921815393</v>
      </c>
      <c r="I9" s="8">
        <v>0.97203251669369817</v>
      </c>
      <c r="J9" s="9">
        <v>0.94987040490184227</v>
      </c>
      <c r="K9" s="8"/>
      <c r="L9" s="2">
        <v>0.92381275935784934</v>
      </c>
      <c r="N9" s="7">
        <v>2.5868519748611707</v>
      </c>
      <c r="O9" s="8">
        <v>2.5027429228596856</v>
      </c>
      <c r="P9" s="9">
        <v>2.1940642250171178</v>
      </c>
    </row>
    <row r="10" spans="1:16">
      <c r="A10" t="s">
        <v>1</v>
      </c>
      <c r="B10" s="2">
        <v>0.70059124357459779</v>
      </c>
      <c r="C10" s="2">
        <v>0.85468929742182798</v>
      </c>
      <c r="D10" s="2">
        <v>0.30127546759209811</v>
      </c>
      <c r="F10" s="7">
        <v>0.43670231890046374</v>
      </c>
      <c r="G10" s="8">
        <v>4.5284551188448097E-3</v>
      </c>
      <c r="H10" s="8">
        <v>0.40154410224878545</v>
      </c>
      <c r="I10" s="8">
        <v>0.75605961840157065</v>
      </c>
      <c r="J10" s="9">
        <v>0.91053146250908379</v>
      </c>
      <c r="K10" s="8"/>
      <c r="L10" s="2">
        <v>0.24599511966500764</v>
      </c>
      <c r="N10" s="7">
        <v>1.9622198855416095</v>
      </c>
      <c r="O10" s="8">
        <v>1.6068067622764166</v>
      </c>
      <c r="P10" s="9">
        <v>1.6037410544088919</v>
      </c>
    </row>
    <row r="11" spans="1:16">
      <c r="A11" t="s">
        <v>2</v>
      </c>
      <c r="B11" s="3">
        <v>0.48122603730546354</v>
      </c>
      <c r="C11" s="3">
        <v>0.48312563913359119</v>
      </c>
      <c r="D11" s="3">
        <v>0.5890896305586476</v>
      </c>
      <c r="F11" s="10">
        <v>0.90829418277786111</v>
      </c>
      <c r="G11" s="11">
        <v>0.4577615808141775</v>
      </c>
      <c r="H11" s="11">
        <v>0.28290940591631708</v>
      </c>
      <c r="I11" s="11">
        <v>0.27520996410880061</v>
      </c>
      <c r="J11" s="12">
        <v>0.73367956063778805</v>
      </c>
      <c r="K11" s="8"/>
      <c r="L11" s="3">
        <v>0.12628937906812587</v>
      </c>
      <c r="N11" s="10">
        <v>1.9739148134677196</v>
      </c>
      <c r="O11" s="11">
        <v>1.4081528381191506</v>
      </c>
      <c r="P11" s="12">
        <v>1.4328813869526862</v>
      </c>
    </row>
    <row r="14" spans="1:16">
      <c r="F14" t="s">
        <v>6</v>
      </c>
      <c r="G14" t="s">
        <v>14</v>
      </c>
      <c r="L14" t="s">
        <v>8</v>
      </c>
      <c r="N14" t="s">
        <v>9</v>
      </c>
      <c r="O14" t="s">
        <v>21</v>
      </c>
    </row>
    <row r="15" spans="1:16">
      <c r="F15" s="4">
        <v>0.27757944783380006</v>
      </c>
      <c r="G15" s="5">
        <v>0.14140917791633945</v>
      </c>
      <c r="H15" s="5">
        <v>0.85668085068533917</v>
      </c>
      <c r="I15" s="5">
        <v>0.79694382779862927</v>
      </c>
      <c r="J15" s="6">
        <v>0.96449416369751961</v>
      </c>
      <c r="K15" s="8"/>
      <c r="L15" s="1">
        <v>0.27036339243652008</v>
      </c>
      <c r="N15" s="4">
        <f t="array" ref="N15:P19">MMULT(omega_q, X)+beta_q</f>
        <v>2.4118657410418143</v>
      </c>
      <c r="O15" s="5">
        <v>1.9874480110419468</v>
      </c>
      <c r="P15" s="6">
        <v>1.9971055464471201</v>
      </c>
    </row>
    <row r="16" spans="1:16">
      <c r="F16" s="7">
        <v>1.6943588689800615E-2</v>
      </c>
      <c r="G16" s="8">
        <v>0.90055245602822598</v>
      </c>
      <c r="H16" s="8">
        <v>0.871028836526754</v>
      </c>
      <c r="I16" s="8">
        <v>0.30640270293967997</v>
      </c>
      <c r="J16" s="9">
        <v>7.9606617772260191E-2</v>
      </c>
      <c r="K16" s="8"/>
      <c r="L16" s="2">
        <v>0.17167570514487818</v>
      </c>
      <c r="N16" s="7">
        <v>1.7792966393488765</v>
      </c>
      <c r="O16" s="8">
        <v>1.6362619160788361</v>
      </c>
      <c r="P16" s="9">
        <v>1.169390011880389</v>
      </c>
    </row>
    <row r="17" spans="6:21">
      <c r="F17" s="7">
        <v>0.70434722676678096</v>
      </c>
      <c r="G17" s="8">
        <v>0.83589622116664375</v>
      </c>
      <c r="H17" s="8">
        <v>0.74338013361602651</v>
      </c>
      <c r="I17" s="8">
        <v>0.48517008553349794</v>
      </c>
      <c r="J17" s="9">
        <v>0.71286391244040481</v>
      </c>
      <c r="K17" s="8"/>
      <c r="L17" s="2">
        <v>4.3453050516649938E-2</v>
      </c>
      <c r="N17" s="7">
        <v>2.5066438450221882</v>
      </c>
      <c r="O17" s="8">
        <v>1.9865590248419833</v>
      </c>
      <c r="P17" s="9">
        <v>1.7284829930695784</v>
      </c>
    </row>
    <row r="18" spans="6:21">
      <c r="F18" s="7">
        <v>0.21235287886032028</v>
      </c>
      <c r="G18" s="8">
        <v>0.14142619539371981</v>
      </c>
      <c r="H18" s="8">
        <v>0.7191334871926105</v>
      </c>
      <c r="I18" s="8">
        <v>0.82102217327935878</v>
      </c>
      <c r="J18" s="9">
        <v>6.9971067452611058E-3</v>
      </c>
      <c r="K18" s="8"/>
      <c r="L18" s="2">
        <v>4.0007362783454958E-2</v>
      </c>
      <c r="N18" s="7">
        <v>1.553687359744337</v>
      </c>
      <c r="O18" s="8">
        <v>1.2386597735249447</v>
      </c>
      <c r="P18" s="9">
        <v>1.0532312706942533</v>
      </c>
    </row>
    <row r="19" spans="6:21">
      <c r="F19" s="10">
        <v>0.71631726484864089</v>
      </c>
      <c r="G19" s="11">
        <v>0.60902178093447079</v>
      </c>
      <c r="H19" s="11">
        <v>0.7809471701601377</v>
      </c>
      <c r="I19" s="11">
        <v>0.42806381436394547</v>
      </c>
      <c r="J19" s="12">
        <v>0.18193486778887946</v>
      </c>
      <c r="K19" s="8"/>
      <c r="L19" s="3">
        <v>0.89178176910424756</v>
      </c>
      <c r="N19" s="10">
        <v>2.9723129407175062</v>
      </c>
      <c r="O19" s="11">
        <v>2.3585941614626202</v>
      </c>
      <c r="P19" s="12">
        <v>2.2652167147423219</v>
      </c>
    </row>
    <row r="20" spans="6:21">
      <c r="N20" t="s">
        <v>18</v>
      </c>
    </row>
    <row r="22" spans="6:21">
      <c r="F22" t="s">
        <v>10</v>
      </c>
      <c r="G22" t="s">
        <v>14</v>
      </c>
      <c r="L22" t="s">
        <v>11</v>
      </c>
      <c r="N22" t="s">
        <v>12</v>
      </c>
      <c r="O22" t="s">
        <v>21</v>
      </c>
    </row>
    <row r="23" spans="6:21">
      <c r="F23" s="4">
        <v>0.70851436187111694</v>
      </c>
      <c r="G23" s="5">
        <v>0.65313091796227596</v>
      </c>
      <c r="H23" s="5">
        <v>0.11381287871449564</v>
      </c>
      <c r="I23" s="5">
        <v>0.76058256554946502</v>
      </c>
      <c r="J23" s="6">
        <v>0.1960934860045277</v>
      </c>
      <c r="K23" s="8"/>
      <c r="L23" s="1">
        <v>0.66215359012346264</v>
      </c>
      <c r="N23" s="4">
        <f t="array" ref="N23:P27">MMULT(omega_k, X)+beta_k</f>
        <v>2.3776763269105063</v>
      </c>
      <c r="O23" s="5">
        <v>2.1462124826997964</v>
      </c>
      <c r="P23" s="6">
        <v>1.5580242317996418</v>
      </c>
    </row>
    <row r="24" spans="6:21">
      <c r="F24" s="7">
        <v>0.3033267128936501</v>
      </c>
      <c r="G24" s="8">
        <v>4.165379259347135E-2</v>
      </c>
      <c r="H24" s="8">
        <v>0.51180155680821904</v>
      </c>
      <c r="I24" s="8">
        <v>0.46592382189327253</v>
      </c>
      <c r="J24" s="9">
        <v>0.18985821181126772</v>
      </c>
      <c r="K24" s="8"/>
      <c r="L24" s="2">
        <v>3.6128650294813602E-2</v>
      </c>
      <c r="N24" s="7">
        <v>1.2140043180320546</v>
      </c>
      <c r="O24" s="8">
        <v>0.85725599368450811</v>
      </c>
      <c r="P24" s="9">
        <v>0.90877513540190036</v>
      </c>
    </row>
    <row r="25" spans="6:21">
      <c r="F25" s="7">
        <v>0.50620330077326103</v>
      </c>
      <c r="G25" s="8">
        <v>7.7156576700975199E-3</v>
      </c>
      <c r="H25" s="8">
        <v>0.99217004348914273</v>
      </c>
      <c r="I25" s="8">
        <v>0.61213998403921366</v>
      </c>
      <c r="J25" s="9">
        <v>0.4444540955533961</v>
      </c>
      <c r="K25" s="8"/>
      <c r="L25" s="2">
        <v>8.6700977379873145E-2</v>
      </c>
      <c r="N25" s="7">
        <v>2.0909478310803591</v>
      </c>
      <c r="O25" s="8">
        <v>1.3893750747459008</v>
      </c>
      <c r="P25" s="9">
        <v>1.6838172799129643</v>
      </c>
    </row>
    <row r="26" spans="6:21">
      <c r="F26" s="7">
        <v>0.69483344094990052</v>
      </c>
      <c r="G26" s="8">
        <v>0.64217336069712339</v>
      </c>
      <c r="H26" s="8">
        <v>0.43237589186235303</v>
      </c>
      <c r="I26" s="8">
        <v>0.28880425468368354</v>
      </c>
      <c r="J26" s="9">
        <v>0.86452137185507771</v>
      </c>
      <c r="K26" s="8"/>
      <c r="L26" s="2">
        <v>0.11582809739451327</v>
      </c>
      <c r="N26" s="7">
        <v>2.1024239349892682</v>
      </c>
      <c r="O26" s="8">
        <v>1.6554555049998978</v>
      </c>
      <c r="P26" s="9">
        <v>1.5345469951396979</v>
      </c>
    </row>
    <row r="27" spans="6:21">
      <c r="F27" s="10">
        <v>0.92813699064138566</v>
      </c>
      <c r="G27" s="11">
        <v>0.55660690401215762</v>
      </c>
      <c r="H27" s="11">
        <v>0.45892557703956693</v>
      </c>
      <c r="I27" s="11">
        <v>0.71016702676416088</v>
      </c>
      <c r="J27" s="12">
        <v>0.52253200477938344</v>
      </c>
      <c r="K27" s="8"/>
      <c r="L27" s="3">
        <v>0.81158727673266695</v>
      </c>
      <c r="N27" s="10">
        <v>3.1014636755326683</v>
      </c>
      <c r="O27" s="11">
        <v>2.5317578887086278</v>
      </c>
      <c r="P27" s="12">
        <v>2.2995917043712319</v>
      </c>
    </row>
    <row r="28" spans="6:21">
      <c r="N28" t="s">
        <v>16</v>
      </c>
    </row>
    <row r="32" spans="6:21">
      <c r="N32" t="s">
        <v>15</v>
      </c>
      <c r="O32" t="s">
        <v>22</v>
      </c>
      <c r="T32" t="s">
        <v>25</v>
      </c>
      <c r="U32" t="s">
        <v>26</v>
      </c>
    </row>
    <row r="33" spans="14:23">
      <c r="N33" s="4">
        <f t="array" ref="N33:R35">TRANSPOSE(N23:P27)</f>
        <v>2.3776763269105063</v>
      </c>
      <c r="O33" s="5">
        <v>1.2140043180320546</v>
      </c>
      <c r="P33" s="5">
        <v>2.0909478310803591</v>
      </c>
      <c r="Q33" s="5">
        <v>2.1024239349892682</v>
      </c>
      <c r="R33" s="6">
        <v>3.1014636755326683</v>
      </c>
      <c r="T33" s="4">
        <f t="array" ref="T33:V35">MMULT(K_T, Q)</f>
        <v>25.621001500998929</v>
      </c>
      <c r="U33" s="5">
        <v>20.785010474944357</v>
      </c>
      <c r="V33" s="6">
        <v>19.022108860002977</v>
      </c>
    </row>
    <row r="34" spans="14:23">
      <c r="N34" s="7">
        <v>2.1462124826997964</v>
      </c>
      <c r="O34" s="8">
        <v>0.85725599368450811</v>
      </c>
      <c r="P34" s="8">
        <v>1.3893750747459008</v>
      </c>
      <c r="Q34" s="8">
        <v>1.6554555049998978</v>
      </c>
      <c r="R34" s="9">
        <v>2.5317578887086278</v>
      </c>
      <c r="T34" s="7">
        <v>20.281594576293323</v>
      </c>
      <c r="U34" s="8">
        <v>16.45019217388726</v>
      </c>
      <c r="V34" s="9">
        <v>15.168748429678487</v>
      </c>
    </row>
    <row r="35" spans="14:23">
      <c r="N35" s="10">
        <v>1.5580242317996418</v>
      </c>
      <c r="O35" s="11">
        <v>0.90877513540190036</v>
      </c>
      <c r="P35" s="11">
        <v>1.6838172799129643</v>
      </c>
      <c r="Q35" s="11">
        <v>1.5345469951396979</v>
      </c>
      <c r="R35" s="12">
        <v>2.2995917043712319</v>
      </c>
      <c r="T35" s="10">
        <v>18.814768484122244</v>
      </c>
      <c r="U35" s="11">
        <v>15.253073919719837</v>
      </c>
      <c r="V35" s="12">
        <v>13.910007380432075</v>
      </c>
    </row>
    <row r="38" spans="14:23">
      <c r="N38" t="s">
        <v>17</v>
      </c>
      <c r="T38" t="s">
        <v>19</v>
      </c>
    </row>
    <row r="39" spans="14:23">
      <c r="T39" t="s">
        <v>20</v>
      </c>
    </row>
    <row r="42" spans="14:23">
      <c r="T42" t="s">
        <v>24</v>
      </c>
      <c r="W42" t="s">
        <v>27</v>
      </c>
    </row>
    <row r="43" spans="14:23">
      <c r="T43" s="4">
        <f>EXP(T33)</f>
        <v>133986046516.15718</v>
      </c>
      <c r="U43" s="5">
        <f>EXP(U33)</f>
        <v>1063690683.8609818</v>
      </c>
      <c r="V43" s="6">
        <f>EXP(V33)</f>
        <v>182472285.6500046</v>
      </c>
      <c r="W43" s="1">
        <f t="shared" ref="W43:W45" si="0">SUM(T43:V43)</f>
        <v>135232209485.66817</v>
      </c>
    </row>
    <row r="44" spans="14:23">
      <c r="T44" s="7">
        <f>EXP(T34)</f>
        <v>642960967.28555906</v>
      </c>
      <c r="U44" s="8">
        <f>EXP(U34)</f>
        <v>13938873.841124538</v>
      </c>
      <c r="V44" s="9">
        <f>EXP(V34)</f>
        <v>3869935.6218181406</v>
      </c>
      <c r="W44" s="2">
        <f t="shared" si="0"/>
        <v>660769776.74850178</v>
      </c>
    </row>
    <row r="45" spans="14:23">
      <c r="T45" s="10">
        <f>EXP(T35)</f>
        <v>148303066.43289074</v>
      </c>
      <c r="U45" s="11">
        <f>EXP(U35)</f>
        <v>4210424.0275503676</v>
      </c>
      <c r="V45" s="12">
        <f>EXP(V35)</f>
        <v>1099105.670683783</v>
      </c>
      <c r="W45" s="3">
        <f t="shared" si="0"/>
        <v>153612596.13112488</v>
      </c>
    </row>
    <row r="48" spans="14:23">
      <c r="T48" t="s">
        <v>28</v>
      </c>
      <c r="W48" t="s">
        <v>27</v>
      </c>
    </row>
    <row r="49" spans="20:23">
      <c r="T49" s="4">
        <f t="shared" ref="T49:V51" si="1">T43/$W43</f>
        <v>0.99078501361287707</v>
      </c>
      <c r="U49" s="5">
        <f t="shared" si="1"/>
        <v>7.8656607616376419E-3</v>
      </c>
      <c r="V49" s="6">
        <f t="shared" si="1"/>
        <v>1.3493256254852725E-3</v>
      </c>
      <c r="W49" s="1">
        <f t="shared" ref="W49:W51" si="2">SUM(T49:V49)</f>
        <v>1</v>
      </c>
    </row>
    <row r="50" spans="20:23">
      <c r="T50" s="7">
        <f t="shared" si="1"/>
        <v>0.97304838978777775</v>
      </c>
      <c r="U50" s="8">
        <f t="shared" si="1"/>
        <v>2.1094902236168511E-2</v>
      </c>
      <c r="V50" s="9">
        <f t="shared" si="1"/>
        <v>5.8567079760536512E-3</v>
      </c>
      <c r="W50" s="2">
        <f t="shared" si="2"/>
        <v>0.99999999999999989</v>
      </c>
    </row>
    <row r="51" spans="20:23">
      <c r="T51" s="10">
        <f t="shared" si="1"/>
        <v>0.96543558385210881</v>
      </c>
      <c r="U51" s="11">
        <f t="shared" si="1"/>
        <v>2.7409367028445489E-2</v>
      </c>
      <c r="V51" s="12">
        <f t="shared" si="1"/>
        <v>7.155049119445765E-3</v>
      </c>
      <c r="W51" s="3">
        <f t="shared" si="2"/>
        <v>1.0000000000000002</v>
      </c>
    </row>
    <row r="54" spans="20:23">
      <c r="T54" t="s">
        <v>29</v>
      </c>
    </row>
    <row r="55" spans="20:23">
      <c r="T55" s="4">
        <f t="array" ref="T55:V59">MMULT(V, TRANSPOSE(A))</f>
        <v>2.925652746914011</v>
      </c>
      <c r="U55" s="5">
        <v>2.9160539499349372</v>
      </c>
      <c r="V55" s="6">
        <v>2.9124411425837868</v>
      </c>
    </row>
    <row r="56" spans="20:23">
      <c r="T56" s="7">
        <v>1.5290960599570236</v>
      </c>
      <c r="U56" s="8">
        <v>1.5214734976143531</v>
      </c>
      <c r="V56" s="9">
        <v>1.5180782597747273</v>
      </c>
    </row>
    <row r="57" spans="20:23">
      <c r="T57" s="7">
        <v>2.5856604030149031</v>
      </c>
      <c r="U57" s="8">
        <v>2.5827772594846143</v>
      </c>
      <c r="V57" s="9">
        <v>2.5817361833407966</v>
      </c>
    </row>
    <row r="58" spans="20:23">
      <c r="T58" s="7">
        <v>1.9589406218107299</v>
      </c>
      <c r="U58" s="8">
        <v>1.9526229746233372</v>
      </c>
      <c r="V58" s="9">
        <v>1.9499133031542719</v>
      </c>
    </row>
    <row r="59" spans="20:23">
      <c r="T59" s="10">
        <v>1.9687346914311528</v>
      </c>
      <c r="U59" s="11">
        <v>1.9588114451244176</v>
      </c>
      <c r="V59" s="12">
        <v>1.9545365150926752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A</vt:lpstr>
      <vt:lpstr>beta</vt:lpstr>
      <vt:lpstr>beta_k</vt:lpstr>
      <vt:lpstr>beta_q</vt:lpstr>
      <vt:lpstr>K</vt:lpstr>
      <vt:lpstr>K_T</vt:lpstr>
      <vt:lpstr>omega</vt:lpstr>
      <vt:lpstr>omega_k</vt:lpstr>
      <vt:lpstr>omega_q</vt:lpstr>
      <vt:lpstr>Q</vt:lpstr>
      <vt:lpstr>V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</dc:creator>
  <cp:lastModifiedBy>Stephen D</cp:lastModifiedBy>
  <dcterms:created xsi:type="dcterms:W3CDTF">2025-09-30T07:23:06Z</dcterms:created>
  <dcterms:modified xsi:type="dcterms:W3CDTF">2025-09-30T07:49:41Z</dcterms:modified>
</cp:coreProperties>
</file>